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cole\EPF\5A\2025-IA2-Projet\SolveurWordle_EvanPASTEAU\Results\"/>
    </mc:Choice>
  </mc:AlternateContent>
  <xr:revisionPtr revIDLastSave="0" documentId="13_ncr:1_{8602C8CA-2F43-4FF1-9D2E-F2B60631C524}" xr6:coauthVersionLast="47" xr6:coauthVersionMax="47" xr10:uidLastSave="{00000000-0000-0000-0000-000000000000}"/>
  <bookViews>
    <workbookView xWindow="-120" yWindow="-120" windowWidth="38640" windowHeight="21840" xr2:uid="{71B9DD53-D17E-49D1-AAA1-5E46C5A2CD02}"/>
  </bookViews>
  <sheets>
    <sheet name="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9" i="1"/>
  <c r="C21" i="1" s="1"/>
  <c r="D9" i="1"/>
  <c r="E16" i="1" s="1"/>
  <c r="E9" i="1"/>
  <c r="F21" i="1" s="1"/>
  <c r="F9" i="1"/>
  <c r="G18" i="1" s="1"/>
  <c r="B9" i="1"/>
  <c r="B19" i="1" s="1"/>
  <c r="G17" i="1" l="1"/>
  <c r="B21" i="1"/>
  <c r="G19" i="1"/>
  <c r="C15" i="1"/>
  <c r="G21" i="1"/>
  <c r="G20" i="1"/>
  <c r="C19" i="1"/>
  <c r="E17" i="1"/>
  <c r="C17" i="1"/>
  <c r="G16" i="1"/>
  <c r="C16" i="1"/>
  <c r="E18" i="1"/>
  <c r="F20" i="1"/>
  <c r="C18" i="1"/>
  <c r="B15" i="1"/>
  <c r="E20" i="1"/>
  <c r="B18" i="1"/>
  <c r="G15" i="1"/>
  <c r="C20" i="1"/>
  <c r="F15" i="1"/>
  <c r="B20" i="1"/>
  <c r="F17" i="1"/>
  <c r="F18" i="1"/>
  <c r="E19" i="1"/>
  <c r="B17" i="1"/>
  <c r="E21" i="1"/>
  <c r="F16" i="1"/>
  <c r="E15" i="1"/>
  <c r="F19" i="1"/>
</calcChain>
</file>

<file path=xl/sharedStrings.xml><?xml version="1.0" encoding="utf-8"?>
<sst xmlns="http://schemas.openxmlformats.org/spreadsheetml/2006/main" count="30" uniqueCount="16">
  <si>
    <t>Algo</t>
  </si>
  <si>
    <t>Résultat</t>
  </si>
  <si>
    <t>1 mot</t>
  </si>
  <si>
    <t>2 mots</t>
  </si>
  <si>
    <t>3 mots</t>
  </si>
  <si>
    <t>4 mots</t>
  </si>
  <si>
    <t>5 mots</t>
  </si>
  <si>
    <t>6 mots</t>
  </si>
  <si>
    <t>Echec</t>
  </si>
  <si>
    <t>Total</t>
  </si>
  <si>
    <t>Temps Moyen (s)</t>
  </si>
  <si>
    <t>Moi</t>
  </si>
  <si>
    <t>Gemini 3Pro</t>
  </si>
  <si>
    <t>ChatGPT 5</t>
  </si>
  <si>
    <t>Gemma3</t>
  </si>
  <si>
    <t>Moyenne Joueurs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</si>
</sst>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2" fillId="0" borderId="12" xfId="0" applyFont="1" applyBorder="1"/>
    <xf numFmtId="10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An!$B$1</c:f>
              <c:strCache>
                <c:ptCount val="1"/>
                <c:pt idx="0">
                  <c:v>Algo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An!$A$2:$A$8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An!$B$2:$B$8</c:f>
              <c:numCache>
                <c:formatCode>General</c:formatCode>
                <c:ptCount val="7"/>
                <c:pt idx="0">
                  <c:v>0</c:v>
                </c:pt>
                <c:pt idx="1">
                  <c:v>49</c:v>
                </c:pt>
                <c:pt idx="2">
                  <c:v>1240</c:v>
                </c:pt>
                <c:pt idx="3">
                  <c:v>939</c:v>
                </c:pt>
                <c:pt idx="4">
                  <c:v>77</c:v>
                </c:pt>
                <c:pt idx="5">
                  <c:v>10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0-4D67-A502-7B82051C07DD}"/>
            </c:ext>
          </c:extLst>
        </c:ser>
        <c:ser>
          <c:idx val="1"/>
          <c:order val="1"/>
          <c:tx>
            <c:strRef>
              <c:f>An!$C$1</c:f>
              <c:strCache>
                <c:ptCount val="1"/>
                <c:pt idx="0">
                  <c:v>Moi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An!$A$2:$A$8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0-4D67-A502-7B82051C07DD}"/>
            </c:ext>
          </c:extLst>
        </c:ser>
        <c:ser>
          <c:idx val="2"/>
          <c:order val="2"/>
          <c:tx>
            <c:strRef>
              <c:f>An!$D$1</c:f>
              <c:strCache>
                <c:ptCount val="1"/>
                <c:pt idx="0">
                  <c:v>Gemini 3Pro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An!$A$2:$A$8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0-4D67-A502-7B82051C07DD}"/>
            </c:ext>
          </c:extLst>
        </c:ser>
        <c:ser>
          <c:idx val="3"/>
          <c:order val="3"/>
          <c:tx>
            <c:strRef>
              <c:f>An!$E$1</c:f>
              <c:strCache>
                <c:ptCount val="1"/>
                <c:pt idx="0">
                  <c:v>ChatGPT 5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An!$A$2:$A$8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An!$E$2:$E$8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60-4D67-A502-7B82051C07DD}"/>
            </c:ext>
          </c:extLst>
        </c:ser>
        <c:ser>
          <c:idx val="4"/>
          <c:order val="4"/>
          <c:tx>
            <c:strRef>
              <c:f>An!$F$1</c:f>
              <c:strCache>
                <c:ptCount val="1"/>
                <c:pt idx="0">
                  <c:v>Gemma3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An!$A$2:$A$8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An!$F$2:$F$8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60-4D67-A502-7B82051C0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92866047"/>
        <c:axId val="1692866527"/>
      </c:barChart>
      <c:catAx>
        <c:axId val="16928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2866527"/>
        <c:crosses val="autoZero"/>
        <c:auto val="1"/>
        <c:lblAlgn val="ctr"/>
        <c:lblOffset val="100"/>
        <c:noMultiLvlLbl val="0"/>
      </c:catAx>
      <c:valAx>
        <c:axId val="16928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286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An!$B$14</c:f>
              <c:strCache>
                <c:ptCount val="1"/>
                <c:pt idx="0">
                  <c:v>Algo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An!$A$15:$A$21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An!$B$15:$B$21</c:f>
              <c:numCache>
                <c:formatCode>0.00%</c:formatCode>
                <c:ptCount val="7"/>
                <c:pt idx="0">
                  <c:v>0</c:v>
                </c:pt>
                <c:pt idx="1">
                  <c:v>2.1166306695464362E-2</c:v>
                </c:pt>
                <c:pt idx="2">
                  <c:v>0.5356371490280778</c:v>
                </c:pt>
                <c:pt idx="3">
                  <c:v>0.40561555075593952</c:v>
                </c:pt>
                <c:pt idx="4">
                  <c:v>3.3261339092872572E-2</c:v>
                </c:pt>
                <c:pt idx="5">
                  <c:v>4.3196544276457886E-3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B-491D-9488-D30399CFC527}"/>
            </c:ext>
          </c:extLst>
        </c:ser>
        <c:ser>
          <c:idx val="1"/>
          <c:order val="1"/>
          <c:tx>
            <c:strRef>
              <c:f>An!$C$14</c:f>
              <c:strCache>
                <c:ptCount val="1"/>
                <c:pt idx="0">
                  <c:v>Moi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An!$A$15:$A$21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An!$C$15:$C$21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9.0909090909090912E-2</c:v>
                </c:pt>
                <c:pt idx="4">
                  <c:v>9.0909090909090912E-2</c:v>
                </c:pt>
                <c:pt idx="5">
                  <c:v>0.36363636363636365</c:v>
                </c:pt>
                <c:pt idx="6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B-491D-9488-D30399CFC527}"/>
            </c:ext>
          </c:extLst>
        </c:ser>
        <c:ser>
          <c:idx val="2"/>
          <c:order val="2"/>
          <c:tx>
            <c:strRef>
              <c:f>An!$D$14</c:f>
              <c:strCache>
                <c:ptCount val="1"/>
                <c:pt idx="0">
                  <c:v>Moyenne Joueurs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An!$A$15:$A$21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An!$D$15:$D$21</c:f>
              <c:numCache>
                <c:formatCode>0.00%</c:formatCode>
                <c:ptCount val="7"/>
                <c:pt idx="0">
                  <c:v>0.01</c:v>
                </c:pt>
                <c:pt idx="1">
                  <c:v>7.0000000000000007E-2</c:v>
                </c:pt>
                <c:pt idx="2">
                  <c:v>0.22</c:v>
                </c:pt>
                <c:pt idx="3">
                  <c:v>0.28000000000000003</c:v>
                </c:pt>
                <c:pt idx="4">
                  <c:v>0.25</c:v>
                </c:pt>
                <c:pt idx="5">
                  <c:v>0.14000000000000001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B-491D-9488-D30399CFC527}"/>
            </c:ext>
          </c:extLst>
        </c:ser>
        <c:ser>
          <c:idx val="3"/>
          <c:order val="3"/>
          <c:tx>
            <c:strRef>
              <c:f>An!$E$14</c:f>
              <c:strCache>
                <c:ptCount val="1"/>
                <c:pt idx="0">
                  <c:v>Gemini 3Pro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An!$A$15:$A$21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An!$E$15:$E$21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0.1</c:v>
                </c:pt>
                <c:pt idx="6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B-491D-9488-D30399CFC527}"/>
            </c:ext>
          </c:extLst>
        </c:ser>
        <c:ser>
          <c:idx val="4"/>
          <c:order val="4"/>
          <c:tx>
            <c:strRef>
              <c:f>An!$F$14</c:f>
              <c:strCache>
                <c:ptCount val="1"/>
                <c:pt idx="0">
                  <c:v>ChatGPT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An!$A$15:$A$21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An!$F$15:$F$21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B-491D-9488-D30399CFC527}"/>
            </c:ext>
          </c:extLst>
        </c:ser>
        <c:ser>
          <c:idx val="5"/>
          <c:order val="5"/>
          <c:tx>
            <c:strRef>
              <c:f>An!$G$14</c:f>
              <c:strCache>
                <c:ptCount val="1"/>
                <c:pt idx="0">
                  <c:v>Gemma3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An!$A$15:$A$21</c:f>
              <c:strCache>
                <c:ptCount val="7"/>
                <c:pt idx="0">
                  <c:v>1 mot</c:v>
                </c:pt>
                <c:pt idx="1">
                  <c:v>2 mots</c:v>
                </c:pt>
                <c:pt idx="2">
                  <c:v>3 mots</c:v>
                </c:pt>
                <c:pt idx="3">
                  <c:v>4 mots</c:v>
                </c:pt>
                <c:pt idx="4">
                  <c:v>5 mots</c:v>
                </c:pt>
                <c:pt idx="5">
                  <c:v>6 mots</c:v>
                </c:pt>
                <c:pt idx="6">
                  <c:v>Echec</c:v>
                </c:pt>
              </c:strCache>
            </c:strRef>
          </c:cat>
          <c:val>
            <c:numRef>
              <c:f>An!$G$15:$G$21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F-4E63-AD5D-5D02ED6F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106303807"/>
        <c:axId val="2106305247"/>
      </c:barChart>
      <c:catAx>
        <c:axId val="210630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6305247"/>
        <c:crosses val="autoZero"/>
        <c:auto val="1"/>
        <c:lblAlgn val="ctr"/>
        <c:lblOffset val="100"/>
        <c:noMultiLvlLbl val="0"/>
      </c:catAx>
      <c:valAx>
        <c:axId val="2106305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630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4</xdr:row>
      <xdr:rowOff>57151</xdr:rowOff>
    </xdr:from>
    <xdr:to>
      <xdr:col>20</xdr:col>
      <xdr:colOff>428625</xdr:colOff>
      <xdr:row>27</xdr:row>
      <xdr:rowOff>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78253DC-1B75-AF6A-962A-676884D1A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495299</xdr:colOff>
      <xdr:row>27</xdr:row>
      <xdr:rowOff>161925</xdr:rowOff>
    </xdr:from>
    <xdr:to>
      <xdr:col>20</xdr:col>
      <xdr:colOff>504824</xdr:colOff>
      <xdr:row>51</xdr:row>
      <xdr:rowOff>123825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AFA68FD-5092-0D66-AF0D-05CBC12A0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11D2-B142-4A1D-9EB2-66ED48218D38}">
  <dimension ref="A1:G22"/>
  <sheetViews>
    <sheetView tabSelected="1" workbookViewId="0">
      <selection activeCell="D15" sqref="D15"/>
    </sheetView>
  </sheetViews>
  <sheetFormatPr baseColWidth="10" defaultRowHeight="15" x14ac:dyDescent="0.25"/>
  <cols>
    <col min="1" max="1" width="12.42578125" bestFit="1" customWidth="1"/>
  </cols>
  <sheetData>
    <row r="1" spans="1:7" x14ac:dyDescent="0.25">
      <c r="A1" s="9" t="s">
        <v>1</v>
      </c>
      <c r="B1" s="1" t="s">
        <v>0</v>
      </c>
      <c r="C1" s="1" t="s">
        <v>11</v>
      </c>
      <c r="D1" s="1" t="s">
        <v>12</v>
      </c>
      <c r="E1" s="1" t="s">
        <v>13</v>
      </c>
      <c r="F1" s="2" t="s">
        <v>14</v>
      </c>
    </row>
    <row r="2" spans="1:7" x14ac:dyDescent="0.25">
      <c r="A2" s="9" t="s">
        <v>2</v>
      </c>
      <c r="B2" s="1">
        <v>0</v>
      </c>
      <c r="C2" s="1">
        <v>0</v>
      </c>
      <c r="D2" s="1">
        <v>0</v>
      </c>
      <c r="E2" s="1">
        <v>0</v>
      </c>
      <c r="F2" s="2">
        <v>0</v>
      </c>
    </row>
    <row r="3" spans="1:7" x14ac:dyDescent="0.25">
      <c r="A3" s="10" t="s">
        <v>3</v>
      </c>
      <c r="B3">
        <v>49</v>
      </c>
      <c r="C3">
        <v>0</v>
      </c>
      <c r="D3">
        <v>0</v>
      </c>
      <c r="E3">
        <v>0</v>
      </c>
      <c r="F3" s="3">
        <v>0</v>
      </c>
    </row>
    <row r="4" spans="1:7" x14ac:dyDescent="0.25">
      <c r="A4" s="10" t="s">
        <v>4</v>
      </c>
      <c r="B4">
        <v>1240</v>
      </c>
      <c r="C4">
        <v>0</v>
      </c>
      <c r="D4">
        <v>1</v>
      </c>
      <c r="E4">
        <v>0</v>
      </c>
      <c r="F4" s="3">
        <v>0</v>
      </c>
    </row>
    <row r="5" spans="1:7" x14ac:dyDescent="0.25">
      <c r="A5" s="10" t="s">
        <v>5</v>
      </c>
      <c r="B5">
        <v>939</v>
      </c>
      <c r="C5">
        <v>1</v>
      </c>
      <c r="D5">
        <v>2</v>
      </c>
      <c r="E5">
        <v>1</v>
      </c>
      <c r="F5" s="3">
        <v>0</v>
      </c>
    </row>
    <row r="6" spans="1:7" x14ac:dyDescent="0.25">
      <c r="A6" s="10" t="s">
        <v>6</v>
      </c>
      <c r="B6">
        <v>77</v>
      </c>
      <c r="C6">
        <v>1</v>
      </c>
      <c r="D6">
        <v>5</v>
      </c>
      <c r="E6">
        <v>1</v>
      </c>
      <c r="F6" s="3">
        <v>0</v>
      </c>
    </row>
    <row r="7" spans="1:7" x14ac:dyDescent="0.25">
      <c r="A7" s="10" t="s">
        <v>7</v>
      </c>
      <c r="B7">
        <v>10</v>
      </c>
      <c r="C7">
        <v>4</v>
      </c>
      <c r="D7">
        <v>1</v>
      </c>
      <c r="E7">
        <v>1</v>
      </c>
      <c r="F7" s="3">
        <v>0</v>
      </c>
    </row>
    <row r="8" spans="1:7" x14ac:dyDescent="0.25">
      <c r="A8" s="11" t="s">
        <v>8</v>
      </c>
      <c r="B8" s="4">
        <v>0</v>
      </c>
      <c r="C8" s="4">
        <v>5</v>
      </c>
      <c r="D8" s="4">
        <v>1</v>
      </c>
      <c r="E8" s="4">
        <v>0</v>
      </c>
      <c r="F8" s="5">
        <v>50</v>
      </c>
    </row>
    <row r="9" spans="1:7" x14ac:dyDescent="0.25">
      <c r="A9" s="12" t="s">
        <v>9</v>
      </c>
      <c r="B9" s="7">
        <f>SUM(B2:B8)</f>
        <v>2315</v>
      </c>
      <c r="C9" s="7">
        <f t="shared" ref="C9:F9" si="0">SUM(C2:C8)</f>
        <v>11</v>
      </c>
      <c r="D9" s="7">
        <f>SUM(D2:D8)</f>
        <v>10</v>
      </c>
      <c r="E9" s="7">
        <f>SUM(E2:E8)</f>
        <v>3</v>
      </c>
      <c r="F9" s="8">
        <f>SUM(F2:F8)</f>
        <v>50</v>
      </c>
    </row>
    <row r="10" spans="1:7" x14ac:dyDescent="0.25">
      <c r="A10" s="13" t="s">
        <v>10</v>
      </c>
      <c r="B10" s="4">
        <v>0.04</v>
      </c>
      <c r="C10" s="4">
        <v>150</v>
      </c>
      <c r="D10" s="4">
        <v>300</v>
      </c>
      <c r="E10" s="4">
        <v>100</v>
      </c>
      <c r="F10" s="5">
        <v>30</v>
      </c>
    </row>
    <row r="14" spans="1:7" x14ac:dyDescent="0.25">
      <c r="A14" s="9" t="s">
        <v>1</v>
      </c>
      <c r="B14" s="6" t="s">
        <v>0</v>
      </c>
      <c r="C14" s="7" t="s">
        <v>11</v>
      </c>
      <c r="D14" s="15" t="s">
        <v>15</v>
      </c>
      <c r="E14" s="7" t="s">
        <v>12</v>
      </c>
      <c r="F14" s="7" t="s">
        <v>13</v>
      </c>
      <c r="G14" s="8" t="s">
        <v>14</v>
      </c>
    </row>
    <row r="15" spans="1:7" x14ac:dyDescent="0.25">
      <c r="A15" s="9" t="s">
        <v>2</v>
      </c>
      <c r="B15" s="14">
        <f t="shared" ref="B15:C15" si="1">B2/B$9</f>
        <v>0</v>
      </c>
      <c r="C15" s="14">
        <f t="shared" si="1"/>
        <v>0</v>
      </c>
      <c r="D15" s="14">
        <v>0.01</v>
      </c>
      <c r="E15" s="14">
        <f>D2/D$9</f>
        <v>0</v>
      </c>
      <c r="F15" s="14">
        <f>E2/E$9</f>
        <v>0</v>
      </c>
      <c r="G15" s="14">
        <f>F2/F$9</f>
        <v>0</v>
      </c>
    </row>
    <row r="16" spans="1:7" x14ac:dyDescent="0.25">
      <c r="A16" s="10" t="s">
        <v>3</v>
      </c>
      <c r="B16" s="14">
        <f t="shared" ref="B16:C16" si="2">B3/B$9</f>
        <v>2.1166306695464362E-2</v>
      </c>
      <c r="C16" s="14">
        <f t="shared" si="2"/>
        <v>0</v>
      </c>
      <c r="D16" s="14">
        <v>7.0000000000000007E-2</v>
      </c>
      <c r="E16" s="14">
        <f>D3/D$9</f>
        <v>0</v>
      </c>
      <c r="F16" s="14">
        <f>E3/E$9</f>
        <v>0</v>
      </c>
      <c r="G16" s="14">
        <f>F3/F$9</f>
        <v>0</v>
      </c>
    </row>
    <row r="17" spans="1:7" x14ac:dyDescent="0.25">
      <c r="A17" s="10" t="s">
        <v>4</v>
      </c>
      <c r="B17" s="14">
        <f t="shared" ref="B17:C17" si="3">B4/B$9</f>
        <v>0.5356371490280778</v>
      </c>
      <c r="C17" s="14">
        <f t="shared" si="3"/>
        <v>0</v>
      </c>
      <c r="D17" s="14">
        <v>0.22</v>
      </c>
      <c r="E17" s="14">
        <f>D4/D$9</f>
        <v>0.1</v>
      </c>
      <c r="F17" s="14">
        <f>E4/E$9</f>
        <v>0</v>
      </c>
      <c r="G17" s="14">
        <f>F4/F$9</f>
        <v>0</v>
      </c>
    </row>
    <row r="18" spans="1:7" x14ac:dyDescent="0.25">
      <c r="A18" s="10" t="s">
        <v>5</v>
      </c>
      <c r="B18" s="14">
        <f t="shared" ref="B18:C18" si="4">B5/B$9</f>
        <v>0.40561555075593952</v>
      </c>
      <c r="C18" s="14">
        <f t="shared" si="4"/>
        <v>9.0909090909090912E-2</v>
      </c>
      <c r="D18" s="14">
        <v>0.28000000000000003</v>
      </c>
      <c r="E18" s="14">
        <f>D5/D$9</f>
        <v>0.2</v>
      </c>
      <c r="F18" s="14">
        <f>E5/E$9</f>
        <v>0.33333333333333331</v>
      </c>
      <c r="G18" s="14">
        <f>F5/F$9</f>
        <v>0</v>
      </c>
    </row>
    <row r="19" spans="1:7" x14ac:dyDescent="0.25">
      <c r="A19" s="10" t="s">
        <v>6</v>
      </c>
      <c r="B19" s="14">
        <f t="shared" ref="B19:C19" si="5">B6/B$9</f>
        <v>3.3261339092872572E-2</v>
      </c>
      <c r="C19" s="14">
        <f t="shared" si="5"/>
        <v>9.0909090909090912E-2</v>
      </c>
      <c r="D19" s="14">
        <v>0.25</v>
      </c>
      <c r="E19" s="14">
        <f>D6/D$9</f>
        <v>0.5</v>
      </c>
      <c r="F19" s="14">
        <f>E6/E$9</f>
        <v>0.33333333333333331</v>
      </c>
      <c r="G19" s="14">
        <f>F6/F$9</f>
        <v>0</v>
      </c>
    </row>
    <row r="20" spans="1:7" x14ac:dyDescent="0.25">
      <c r="A20" s="10" t="s">
        <v>7</v>
      </c>
      <c r="B20" s="14">
        <f t="shared" ref="B20:C20" si="6">B7/B$9</f>
        <v>4.3196544276457886E-3</v>
      </c>
      <c r="C20" s="14">
        <f t="shared" si="6"/>
        <v>0.36363636363636365</v>
      </c>
      <c r="D20" s="14">
        <v>0.14000000000000001</v>
      </c>
      <c r="E20" s="14">
        <f>D7/D$9</f>
        <v>0.1</v>
      </c>
      <c r="F20" s="14">
        <f>E7/E$9</f>
        <v>0.33333333333333331</v>
      </c>
      <c r="G20" s="14">
        <f>F7/F$9</f>
        <v>0</v>
      </c>
    </row>
    <row r="21" spans="1:7" x14ac:dyDescent="0.25">
      <c r="A21" s="11" t="s">
        <v>8</v>
      </c>
      <c r="B21" s="14">
        <f t="shared" ref="B21:C21" si="7">B8/B$9</f>
        <v>0</v>
      </c>
      <c r="C21" s="14">
        <f t="shared" si="7"/>
        <v>0.45454545454545453</v>
      </c>
      <c r="D21" s="14">
        <v>0.04</v>
      </c>
      <c r="E21" s="14">
        <f>D8/D$9</f>
        <v>0.1</v>
      </c>
      <c r="F21" s="14">
        <f>E8/E$9</f>
        <v>0</v>
      </c>
      <c r="G21" s="14">
        <f>F8/F$9</f>
        <v>1</v>
      </c>
    </row>
    <row r="22" spans="1:7" x14ac:dyDescent="0.25">
      <c r="A22" s="13" t="s">
        <v>10</v>
      </c>
      <c r="B22" s="6">
        <v>0.04</v>
      </c>
      <c r="C22" s="7">
        <v>150</v>
      </c>
      <c r="E22" s="7">
        <v>300</v>
      </c>
      <c r="F22" s="7">
        <v>100</v>
      </c>
      <c r="G22" s="8">
        <v>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PASTEAU Evan</dc:creator>
  <cp:lastModifiedBy>PASTEAU Evan</cp:lastModifiedBy>
  <dcterms:created xsi:type="dcterms:W3CDTF">2025-12-15T19:42:09Z</dcterms:created>
  <dcterms:modified xsi:type="dcterms:W3CDTF">2025-12-15T22:14:05Z</dcterms:modified>
</cp:coreProperties>
</file>